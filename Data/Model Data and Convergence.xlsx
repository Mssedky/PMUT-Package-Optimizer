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ostafasedky/Documents/GradClass/Lin Lab/pMUTs/pMUT Acoustic Housing/Publication/Nature Paper/Review Response/"/>
    </mc:Choice>
  </mc:AlternateContent>
  <xr:revisionPtr revIDLastSave="0" documentId="13_ncr:1_{C59035AB-5318-8141-B8AA-26B3AEB67BBC}" xr6:coauthVersionLast="47" xr6:coauthVersionMax="47" xr10:uidLastSave="{00000000-0000-0000-0000-000000000000}"/>
  <bookViews>
    <workbookView xWindow="0" yWindow="600" windowWidth="51200" windowHeight="26300" tabRatio="500" xr2:uid="{00000000-000D-0000-FFFF-FFFF00000000}"/>
  </bookViews>
  <sheets>
    <sheet name="Inputs" sheetId="2" r:id="rId1"/>
    <sheet name="Time Step" sheetId="5" r:id="rId2"/>
    <sheet name="Sim Window" sheetId="6" r:id="rId3"/>
    <sheet name="Grid Domain PML" sheetId="7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7" l="1"/>
  <c r="G33" i="7"/>
  <c r="F33" i="7"/>
  <c r="C33" i="7"/>
  <c r="F32" i="7"/>
  <c r="E32" i="7"/>
  <c r="C32" i="7"/>
  <c r="C31" i="7"/>
  <c r="I26" i="7"/>
  <c r="H26" i="7"/>
  <c r="G26" i="7"/>
  <c r="H25" i="7"/>
  <c r="G25" i="7"/>
  <c r="I25" i="7" s="1"/>
  <c r="H24" i="7"/>
  <c r="G24" i="7"/>
  <c r="I24" i="7" s="1"/>
  <c r="H23" i="7"/>
  <c r="G34" i="7" s="1"/>
  <c r="G23" i="7"/>
  <c r="H21" i="7"/>
  <c r="G21" i="7"/>
  <c r="I21" i="7" s="1"/>
  <c r="H20" i="7"/>
  <c r="G20" i="7"/>
  <c r="I20" i="7" s="1"/>
  <c r="H19" i="7"/>
  <c r="G19" i="7"/>
  <c r="I19" i="7" s="1"/>
  <c r="H18" i="7"/>
  <c r="G18" i="7"/>
  <c r="I18" i="7" s="1"/>
  <c r="H17" i="7"/>
  <c r="G17" i="7"/>
  <c r="I17" i="7" s="1"/>
  <c r="H16" i="7"/>
  <c r="G16" i="7"/>
  <c r="I16" i="7" s="1"/>
  <c r="H15" i="7"/>
  <c r="G15" i="7"/>
  <c r="H13" i="7"/>
  <c r="G13" i="7"/>
  <c r="I13" i="7" s="1"/>
  <c r="H12" i="7"/>
  <c r="G12" i="7"/>
  <c r="I12" i="7" s="1"/>
  <c r="H11" i="7"/>
  <c r="G11" i="7"/>
  <c r="I11" i="7" s="1"/>
  <c r="H10" i="7"/>
  <c r="G32" i="7" s="1"/>
  <c r="G10" i="7"/>
  <c r="I10" i="7" s="1"/>
  <c r="H8" i="7"/>
  <c r="G8" i="7"/>
  <c r="I8" i="7" s="1"/>
  <c r="H7" i="7"/>
  <c r="G7" i="7"/>
  <c r="I7" i="7" s="1"/>
  <c r="H6" i="7"/>
  <c r="G31" i="7" s="1"/>
  <c r="G6" i="7"/>
  <c r="H5" i="7"/>
  <c r="G5" i="7"/>
  <c r="I5" i="7" s="1"/>
  <c r="H4" i="7"/>
  <c r="G4" i="7"/>
  <c r="E10" i="6"/>
  <c r="E9" i="6"/>
  <c r="E8" i="6"/>
  <c r="E7" i="6"/>
  <c r="E6" i="6"/>
  <c r="E5" i="6"/>
  <c r="E4" i="6"/>
  <c r="F7" i="5"/>
  <c r="D7" i="5"/>
  <c r="F6" i="5"/>
  <c r="D6" i="5"/>
  <c r="F5" i="5"/>
  <c r="D5" i="5"/>
  <c r="F4" i="5"/>
  <c r="D4" i="5"/>
  <c r="B37" i="2"/>
  <c r="B33" i="2"/>
  <c r="B34" i="2" s="1"/>
  <c r="B32" i="2"/>
  <c r="B29" i="2"/>
  <c r="I23" i="7" l="1"/>
  <c r="F34" i="7"/>
  <c r="E34" i="7"/>
  <c r="I15" i="7"/>
  <c r="E33" i="7"/>
  <c r="I4" i="7"/>
  <c r="F31" i="7"/>
  <c r="E31" i="7"/>
  <c r="H34" i="7"/>
  <c r="I34" i="7"/>
  <c r="H33" i="7"/>
  <c r="I33" i="7"/>
  <c r="H32" i="7"/>
  <c r="I32" i="7"/>
  <c r="I6" i="7"/>
  <c r="C5" i="6"/>
  <c r="C6" i="6"/>
  <c r="C7" i="6"/>
  <c r="C9" i="6"/>
  <c r="C4" i="6"/>
  <c r="C8" i="6"/>
  <c r="B36" i="2"/>
  <c r="B35" i="2"/>
  <c r="B30" i="2"/>
  <c r="I31" i="7" l="1"/>
  <c r="H31" i="7"/>
  <c r="A4" i="5"/>
  <c r="A5" i="5"/>
  <c r="A6" i="5"/>
  <c r="A7" i="5"/>
  <c r="B31" i="2"/>
</calcChain>
</file>

<file path=xl/sharedStrings.xml><?xml version="1.0" encoding="utf-8"?>
<sst xmlns="http://schemas.openxmlformats.org/spreadsheetml/2006/main" count="211" uniqueCount="156">
  <si>
    <t>Inputs and parameters</t>
  </si>
  <si>
    <t>Parameter</t>
  </si>
  <si>
    <t>Value</t>
  </si>
  <si>
    <t>Unit</t>
  </si>
  <si>
    <t>Source / note</t>
  </si>
  <si>
    <t>Membrane radius a</t>
  </si>
  <si>
    <t>mm</t>
  </si>
  <si>
    <t>CH101 datasheet (0.7 mm diameter); acoustic_cost.m</t>
  </si>
  <si>
    <t>Operating frequency f0</t>
  </si>
  <si>
    <t>Hz</t>
  </si>
  <si>
    <t>DK-CH101 drive frequency; acoustic_cost.m</t>
  </si>
  <si>
    <t>Peak membrane velocity v0 (simulations)</t>
  </si>
  <si>
    <t>m/s</t>
  </si>
  <si>
    <t>Convergence study (GA itself used 10 µm/s; gains are independent of v0)</t>
  </si>
  <si>
    <t>Speed of sound, air</t>
  </si>
  <si>
    <t>acoustic_cost.m</t>
  </si>
  <si>
    <t>Density, air</t>
  </si>
  <si>
    <t>kg/m³</t>
  </si>
  <si>
    <t>Speed of sound, horn material</t>
  </si>
  <si>
    <t>Density, horn material</t>
  </si>
  <si>
    <t>Package port height</t>
  </si>
  <si>
    <t>acoustic_cost.m cylinder_height (Comment 2.2)</t>
  </si>
  <si>
    <t>Package port diameter</t>
  </si>
  <si>
    <t>acoustic_cost.m (1.2 × membrane radius × 2) (Comment 2.2)</t>
  </si>
  <si>
    <t>Observation distance above top of package</t>
  </si>
  <si>
    <t>acoustic_cost.m z_up_target (Comment 1.6)</t>
  </si>
  <si>
    <t>Points per wavelength (manuscript)</t>
  </si>
  <si>
    <t>–</t>
  </si>
  <si>
    <t>Grid size (manuscript), x × y × z</t>
  </si>
  <si>
    <t>88 × 88 × 80</t>
  </si>
  <si>
    <t>points</t>
  </si>
  <si>
    <t>5.5 × 5.5 × 5 mm³ including the PML</t>
  </si>
  <si>
    <t>PML thickness (manuscript)</t>
  </si>
  <si>
    <t>Inside the grid (k-Wave PMLInside = true)</t>
  </si>
  <si>
    <t>Time step (manuscript)</t>
  </si>
  <si>
    <t>ns</t>
  </si>
  <si>
    <t>acoustic_cost.m deltaT</t>
  </si>
  <si>
    <t>Number of time steps (manuscript)</t>
  </si>
  <si>
    <t>acoustic_cost.m Nsteps</t>
  </si>
  <si>
    <t>Optimized horn height H</t>
  </si>
  <si>
    <t>GA optimum (Solver_Acoustic.m)</t>
  </si>
  <si>
    <t>Optimized horn base radius r_base</t>
  </si>
  <si>
    <t>Fixed in acoustic_cost.m (2.4 × membrane radius)</t>
  </si>
  <si>
    <t>Optimized horn exit radius r_top</t>
  </si>
  <si>
    <t>GA optimum (Solver_Acoustic.m); quoted in Comment 2.1</t>
  </si>
  <si>
    <t>Optimized horn exponent p</t>
  </si>
  <si>
    <t>Optimized horn exponent q</t>
  </si>
  <si>
    <t>Original bare-PMUT recording, peak-to-peak</t>
  </si>
  <si>
    <t>V</t>
  </si>
  <si>
    <t>Supplementary Data/Raw Data/4mm_No_Packaging_1.899Vpp.psdata</t>
  </si>
  <si>
    <t>Original bare-PMUT SPL reported in manuscript</t>
  </si>
  <si>
    <t>dB</t>
  </si>
  <si>
    <t>Original manuscript Results</t>
  </si>
  <si>
    <t>Reference pressure</t>
  </si>
  <si>
    <t>Pa</t>
  </si>
  <si>
    <t>20 µPa</t>
  </si>
  <si>
    <t>Derived</t>
  </si>
  <si>
    <t>Wavelength in air</t>
  </si>
  <si>
    <t>Grid spacing Δx at 30 ppw</t>
  </si>
  <si>
    <t>µm</t>
  </si>
  <si>
    <t>CFL number at 4 ns (horn material)</t>
  </si>
  <si>
    <t>CFL = c_horn·Δt/Δx</t>
  </si>
  <si>
    <t>Simulation window</t>
  </si>
  <si>
    <t>µs</t>
  </si>
  <si>
    <t>Δt × steps</t>
  </si>
  <si>
    <t>Acoustic path, membrane to observation plane</t>
  </si>
  <si>
    <t>Port height + 4 mm</t>
  </si>
  <si>
    <t>First-arrival time at the observation plane</t>
  </si>
  <si>
    <t>Path / c_air</t>
  </si>
  <si>
    <t>ka, bare membrane</t>
  </si>
  <si>
    <t>ka, optimized horn exit</t>
  </si>
  <si>
    <t>Membrane mode wavenumber k = 2.405/a</t>
  </si>
  <si>
    <t>1/m</t>
  </si>
  <si>
    <t>Table R1 — time-step convergence, bare PMUT (manuscript grid 88×88×80, 5-pt PML, 20 µs window, v0 = 1 m/s)</t>
  </si>
  <si>
    <t>CFL (horn material)</t>
  </si>
  <si>
    <t>Δt (ns)</t>
  </si>
  <si>
    <t>Window (µs)</t>
  </si>
  <si>
    <t>Steps</t>
  </si>
  <si>
    <t>p_max (Pa)</t>
  </si>
  <si>
    <t>Change vs. CFL 0.025 (%)</t>
  </si>
  <si>
    <t>Table R2 — simulation-window convergence, bare PMUT (manuscript grid, Δt = 4 ns)</t>
  </si>
  <si>
    <t>Excitation / window</t>
  </si>
  <si>
    <t>Time after first arrival (µs)</t>
  </si>
  <si>
    <t>Change vs. 200 µs (%)</t>
  </si>
  <si>
    <t>CW, 12 µs</t>
  </si>
  <si>
    <t>CW, 16 µs</t>
  </si>
  <si>
    <t>CW, 20 µs (used)</t>
  </si>
  <si>
    <t>CW, 40 µs</t>
  </si>
  <si>
    <t>CW, 100 µs</t>
  </si>
  <si>
    <t>CW, 200 µs (reference)</t>
  </si>
  <si>
    <t>30-cycle burst, 220 µs</t>
  </si>
  <si>
    <t>—</t>
  </si>
  <si>
    <t>Table R3 — grid, domain and PML convergence, bare PMUT and optimized horn (CFL 0.172, 20 µs, v0 = 1 m/s)</t>
  </si>
  <si>
    <t>Study</t>
  </si>
  <si>
    <t>Setting</t>
  </si>
  <si>
    <t>Grid (x × y × z)</t>
  </si>
  <si>
    <t>p_max bare (Pa)</t>
  </si>
  <si>
    <t>p_max optimized (Pa)</t>
  </si>
  <si>
    <t>Gain optimized (×)</t>
  </si>
  <si>
    <t>Change bare vs. finest (%)</t>
  </si>
  <si>
    <t>Change gain vs. finest (%)</t>
  </si>
  <si>
    <t>Manuscript setting?</t>
  </si>
  <si>
    <t>Points per wavelength</t>
  </si>
  <si>
    <t>20 ppw</t>
  </si>
  <si>
    <t>58 × 58 × 57</t>
  </si>
  <si>
    <t>25 ppw</t>
  </si>
  <si>
    <t>72 × 72 × 69</t>
  </si>
  <si>
    <t>30 ppw</t>
  </si>
  <si>
    <t>yes</t>
  </si>
  <si>
    <t>35 ppw</t>
  </si>
  <si>
    <t>102 × 102 × 92</t>
  </si>
  <si>
    <t>40 ppw</t>
  </si>
  <si>
    <t>116 × 116 × 104</t>
  </si>
  <si>
    <t>Total lateral width (mm)</t>
  </si>
  <si>
    <t>5.5 mm</t>
  </si>
  <si>
    <t>8 mm</t>
  </si>
  <si>
    <t>126 × 126 × 80</t>
  </si>
  <si>
    <t>11 mm</t>
  </si>
  <si>
    <t>174 × 174 × 80</t>
  </si>
  <si>
    <t>14 mm</t>
  </si>
  <si>
    <t>220 × 220 × 80</t>
  </si>
  <si>
    <t>Air between plane and top PML (mm)</t>
  </si>
  <si>
    <t>in PML (−1 cell)</t>
  </si>
  <si>
    <t>0 mm</t>
  </si>
  <si>
    <t>88 × 88 × 81</t>
  </si>
  <si>
    <t>0.25 mm</t>
  </si>
  <si>
    <t>88 × 88 × 85</t>
  </si>
  <si>
    <t>0.5 mm</t>
  </si>
  <si>
    <t>88 × 88 × 89</t>
  </si>
  <si>
    <t>1 mm</t>
  </si>
  <si>
    <t>88 × 88 × 97</t>
  </si>
  <si>
    <t>2 mm</t>
  </si>
  <si>
    <t>88 × 88 × 113</t>
  </si>
  <si>
    <t>3 mm</t>
  </si>
  <si>
    <t>88 × 88 × 129</t>
  </si>
  <si>
    <t>PML thickness (points)</t>
  </si>
  <si>
    <t>5 pts</t>
  </si>
  <si>
    <t>10 pts</t>
  </si>
  <si>
    <t>98 × 98 × 90</t>
  </si>
  <si>
    <t>15 pts</t>
  </si>
  <si>
    <t>108 × 108 × 100</t>
  </si>
  <si>
    <t>20 pts</t>
  </si>
  <si>
    <t>118 × 118 × 110</t>
  </si>
  <si>
    <t>Parameter varied</t>
  </si>
  <si>
    <t>Values</t>
  </si>
  <si>
    <t>p_max bare, range (Pa)</t>
  </si>
  <si>
    <t>Gain optimized, min (×)</t>
  </si>
  <si>
    <t>Gain optimized, max (×)</t>
  </si>
  <si>
    <t>Bare change at setting used (%)</t>
  </si>
  <si>
    <t>Gain change at setting used (%)</t>
  </si>
  <si>
    <t>Max gain change over range (%)</t>
  </si>
  <si>
    <t>20 / 25 / 30 / 35 / 40</t>
  </si>
  <si>
    <t>5.5 / 8 / 11 / 14</t>
  </si>
  <si>
    <t>in PML (−1 cell) / 0 / 0.25 / 0.5 / 1 / 2 / 3</t>
  </si>
  <si>
    <t>5 / 10 / 15 / 20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</si>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</sst>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1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"/>
    </font>
    <font>
      <b/>
      <sz val="14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165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3A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abSelected="1" zoomScaleNormal="100" workbookViewId="0">
      <selection activeCell="F36" sqref="F36"/>
    </sheetView>
  </sheetViews>
  <sheetFormatPr baseColWidth="10" defaultColWidth="8.6640625" defaultRowHeight="19" x14ac:dyDescent="0.25"/>
  <cols>
    <col min="1" max="1" width="50" style="3" customWidth="1"/>
    <col min="2" max="2" width="14" style="4" customWidth="1"/>
    <col min="3" max="3" width="10" style="3" customWidth="1"/>
    <col min="4" max="4" width="95" style="3" customWidth="1"/>
    <col min="5" max="16384" width="8.6640625" style="3"/>
  </cols>
  <sheetData>
    <row r="1" spans="1:4" x14ac:dyDescent="0.25">
      <c r="A1" s="5" t="s">
        <v>0</v>
      </c>
      <c r="B1" s="6"/>
      <c r="C1" s="7"/>
      <c r="D1" s="7"/>
    </row>
    <row r="2" spans="1:4" x14ac:dyDescent="0.25">
      <c r="A2" s="7"/>
      <c r="B2" s="6"/>
      <c r="C2" s="7"/>
      <c r="D2" s="7"/>
    </row>
    <row r="3" spans="1:4" ht="30" customHeight="1" x14ac:dyDescent="0.25">
      <c r="A3" s="10" t="s">
        <v>1</v>
      </c>
      <c r="B3" s="10" t="s">
        <v>2</v>
      </c>
      <c r="C3" s="10" t="s">
        <v>3</v>
      </c>
      <c r="D3" s="10" t="s">
        <v>4</v>
      </c>
    </row>
    <row r="4" spans="1:4" x14ac:dyDescent="0.25">
      <c r="A4" s="11" t="s">
        <v>5</v>
      </c>
      <c r="B4" s="12">
        <v>0.35</v>
      </c>
      <c r="C4" s="11" t="s">
        <v>6</v>
      </c>
      <c r="D4" s="11" t="s">
        <v>7</v>
      </c>
    </row>
    <row r="5" spans="1:4" x14ac:dyDescent="0.25">
      <c r="A5" s="11" t="s">
        <v>8</v>
      </c>
      <c r="B5" s="12">
        <v>180000</v>
      </c>
      <c r="C5" s="11" t="s">
        <v>9</v>
      </c>
      <c r="D5" s="11" t="s">
        <v>10</v>
      </c>
    </row>
    <row r="6" spans="1:4" x14ac:dyDescent="0.25">
      <c r="A6" s="11" t="s">
        <v>11</v>
      </c>
      <c r="B6" s="12">
        <v>1</v>
      </c>
      <c r="C6" s="11" t="s">
        <v>12</v>
      </c>
      <c r="D6" s="11" t="s">
        <v>13</v>
      </c>
    </row>
    <row r="7" spans="1:4" x14ac:dyDescent="0.25">
      <c r="A7" s="11" t="s">
        <v>14</v>
      </c>
      <c r="B7" s="12">
        <v>343</v>
      </c>
      <c r="C7" s="11" t="s">
        <v>12</v>
      </c>
      <c r="D7" s="11" t="s">
        <v>15</v>
      </c>
    </row>
    <row r="8" spans="1:4" x14ac:dyDescent="0.25">
      <c r="A8" s="11" t="s">
        <v>16</v>
      </c>
      <c r="B8" s="12">
        <v>1.21</v>
      </c>
      <c r="C8" s="11" t="s">
        <v>17</v>
      </c>
      <c r="D8" s="11" t="s">
        <v>15</v>
      </c>
    </row>
    <row r="9" spans="1:4" x14ac:dyDescent="0.25">
      <c r="A9" s="11" t="s">
        <v>18</v>
      </c>
      <c r="B9" s="12">
        <v>2730</v>
      </c>
      <c r="C9" s="11" t="s">
        <v>12</v>
      </c>
      <c r="D9" s="11" t="s">
        <v>15</v>
      </c>
    </row>
    <row r="10" spans="1:4" x14ac:dyDescent="0.25">
      <c r="A10" s="11" t="s">
        <v>19</v>
      </c>
      <c r="B10" s="12">
        <v>1190</v>
      </c>
      <c r="C10" s="11" t="s">
        <v>17</v>
      </c>
      <c r="D10" s="11" t="s">
        <v>15</v>
      </c>
    </row>
    <row r="11" spans="1:4" x14ac:dyDescent="0.25">
      <c r="A11" s="11" t="s">
        <v>20</v>
      </c>
      <c r="B11" s="12">
        <v>0.47499999999999998</v>
      </c>
      <c r="C11" s="11" t="s">
        <v>6</v>
      </c>
      <c r="D11" s="11" t="s">
        <v>21</v>
      </c>
    </row>
    <row r="12" spans="1:4" x14ac:dyDescent="0.25">
      <c r="A12" s="11" t="s">
        <v>22</v>
      </c>
      <c r="B12" s="12">
        <v>0.84</v>
      </c>
      <c r="C12" s="11" t="s">
        <v>6</v>
      </c>
      <c r="D12" s="11" t="s">
        <v>23</v>
      </c>
    </row>
    <row r="13" spans="1:4" x14ac:dyDescent="0.25">
      <c r="A13" s="11" t="s">
        <v>24</v>
      </c>
      <c r="B13" s="12">
        <v>4</v>
      </c>
      <c r="C13" s="11" t="s">
        <v>6</v>
      </c>
      <c r="D13" s="11" t="s">
        <v>25</v>
      </c>
    </row>
    <row r="14" spans="1:4" x14ac:dyDescent="0.25">
      <c r="A14" s="11" t="s">
        <v>26</v>
      </c>
      <c r="B14" s="12">
        <v>30</v>
      </c>
      <c r="C14" s="11" t="s">
        <v>27</v>
      </c>
      <c r="D14" s="11" t="s">
        <v>15</v>
      </c>
    </row>
    <row r="15" spans="1:4" x14ac:dyDescent="0.25">
      <c r="A15" s="11" t="s">
        <v>28</v>
      </c>
      <c r="B15" s="12" t="s">
        <v>29</v>
      </c>
      <c r="C15" s="11" t="s">
        <v>30</v>
      </c>
      <c r="D15" s="11" t="s">
        <v>31</v>
      </c>
    </row>
    <row r="16" spans="1:4" x14ac:dyDescent="0.25">
      <c r="A16" s="11" t="s">
        <v>32</v>
      </c>
      <c r="B16" s="12">
        <v>5</v>
      </c>
      <c r="C16" s="11" t="s">
        <v>30</v>
      </c>
      <c r="D16" s="11" t="s">
        <v>33</v>
      </c>
    </row>
    <row r="17" spans="1:4" x14ac:dyDescent="0.25">
      <c r="A17" s="11" t="s">
        <v>34</v>
      </c>
      <c r="B17" s="12">
        <v>4</v>
      </c>
      <c r="C17" s="11" t="s">
        <v>35</v>
      </c>
      <c r="D17" s="11" t="s">
        <v>36</v>
      </c>
    </row>
    <row r="18" spans="1:4" x14ac:dyDescent="0.25">
      <c r="A18" s="11" t="s">
        <v>37</v>
      </c>
      <c r="B18" s="12">
        <v>5000</v>
      </c>
      <c r="C18" s="11" t="s">
        <v>27</v>
      </c>
      <c r="D18" s="11" t="s">
        <v>38</v>
      </c>
    </row>
    <row r="19" spans="1:4" x14ac:dyDescent="0.25">
      <c r="A19" s="11" t="s">
        <v>39</v>
      </c>
      <c r="B19" s="12">
        <v>3.1</v>
      </c>
      <c r="C19" s="11" t="s">
        <v>6</v>
      </c>
      <c r="D19" s="11" t="s">
        <v>40</v>
      </c>
    </row>
    <row r="20" spans="1:4" x14ac:dyDescent="0.25">
      <c r="A20" s="11" t="s">
        <v>41</v>
      </c>
      <c r="B20" s="12">
        <v>0.84</v>
      </c>
      <c r="C20" s="11" t="s">
        <v>6</v>
      </c>
      <c r="D20" s="11" t="s">
        <v>42</v>
      </c>
    </row>
    <row r="21" spans="1:4" x14ac:dyDescent="0.25">
      <c r="A21" s="11" t="s">
        <v>43</v>
      </c>
      <c r="B21" s="12">
        <v>1.8</v>
      </c>
      <c r="C21" s="11" t="s">
        <v>6</v>
      </c>
      <c r="D21" s="11" t="s">
        <v>44</v>
      </c>
    </row>
    <row r="22" spans="1:4" x14ac:dyDescent="0.25">
      <c r="A22" s="11" t="s">
        <v>45</v>
      </c>
      <c r="B22" s="12">
        <v>4.9298999999999999</v>
      </c>
      <c r="C22" s="11" t="s">
        <v>27</v>
      </c>
      <c r="D22" s="11" t="s">
        <v>40</v>
      </c>
    </row>
    <row r="23" spans="1:4" x14ac:dyDescent="0.25">
      <c r="A23" s="11" t="s">
        <v>46</v>
      </c>
      <c r="B23" s="12">
        <v>6.5187999999999997</v>
      </c>
      <c r="C23" s="11" t="s">
        <v>27</v>
      </c>
      <c r="D23" s="11" t="s">
        <v>40</v>
      </c>
    </row>
    <row r="24" spans="1:4" x14ac:dyDescent="0.25">
      <c r="A24" s="11" t="s">
        <v>47</v>
      </c>
      <c r="B24" s="12">
        <v>1.899</v>
      </c>
      <c r="C24" s="11" t="s">
        <v>48</v>
      </c>
      <c r="D24" s="11" t="s">
        <v>49</v>
      </c>
    </row>
    <row r="25" spans="1:4" x14ac:dyDescent="0.25">
      <c r="A25" s="11" t="s">
        <v>50</v>
      </c>
      <c r="B25" s="12">
        <v>115.52</v>
      </c>
      <c r="C25" s="11" t="s">
        <v>51</v>
      </c>
      <c r="D25" s="11" t="s">
        <v>52</v>
      </c>
    </row>
    <row r="26" spans="1:4" x14ac:dyDescent="0.25">
      <c r="A26" s="11" t="s">
        <v>53</v>
      </c>
      <c r="B26" s="12">
        <v>2.0000000000000002E-5</v>
      </c>
      <c r="C26" s="11" t="s">
        <v>54</v>
      </c>
      <c r="D26" s="11" t="s">
        <v>55</v>
      </c>
    </row>
    <row r="27" spans="1:4" x14ac:dyDescent="0.25">
      <c r="A27" s="8"/>
      <c r="B27" s="9"/>
      <c r="C27" s="8"/>
      <c r="D27" s="8"/>
    </row>
    <row r="28" spans="1:4" x14ac:dyDescent="0.25">
      <c r="A28" s="13" t="s">
        <v>56</v>
      </c>
      <c r="B28" s="9"/>
      <c r="C28" s="8"/>
      <c r="D28" s="8"/>
    </row>
    <row r="29" spans="1:4" x14ac:dyDescent="0.25">
      <c r="A29" s="11" t="s">
        <v>57</v>
      </c>
      <c r="B29" s="14">
        <f>B7/B5*1000</f>
        <v>1.9055555555555554</v>
      </c>
      <c r="C29" s="11" t="s">
        <v>6</v>
      </c>
      <c r="D29" s="11"/>
    </row>
    <row r="30" spans="1:4" x14ac:dyDescent="0.25">
      <c r="A30" s="11" t="s">
        <v>58</v>
      </c>
      <c r="B30" s="14">
        <f>B29/B14*1000</f>
        <v>63.518518518518519</v>
      </c>
      <c r="C30" s="11" t="s">
        <v>59</v>
      </c>
      <c r="D30" s="11"/>
    </row>
    <row r="31" spans="1:4" x14ac:dyDescent="0.25">
      <c r="A31" s="11" t="s">
        <v>60</v>
      </c>
      <c r="B31" s="14">
        <f>B9*B17*0.000000001/(B30*0.000001)</f>
        <v>0.1719183673469388</v>
      </c>
      <c r="C31" s="11" t="s">
        <v>27</v>
      </c>
      <c r="D31" s="11" t="s">
        <v>61</v>
      </c>
    </row>
    <row r="32" spans="1:4" x14ac:dyDescent="0.25">
      <c r="A32" s="11" t="s">
        <v>62</v>
      </c>
      <c r="B32" s="14">
        <f>B17*B18/1000</f>
        <v>20</v>
      </c>
      <c r="C32" s="11" t="s">
        <v>63</v>
      </c>
      <c r="D32" s="11" t="s">
        <v>64</v>
      </c>
    </row>
    <row r="33" spans="1:4" x14ac:dyDescent="0.25">
      <c r="A33" s="11" t="s">
        <v>65</v>
      </c>
      <c r="B33" s="14">
        <f>B11+B13</f>
        <v>4.4749999999999996</v>
      </c>
      <c r="C33" s="11" t="s">
        <v>6</v>
      </c>
      <c r="D33" s="11" t="s">
        <v>66</v>
      </c>
    </row>
    <row r="34" spans="1:4" x14ac:dyDescent="0.25">
      <c r="A34" s="11" t="s">
        <v>67</v>
      </c>
      <c r="B34" s="14">
        <f>B33/1000/B7*1000000</f>
        <v>13.0466472303207</v>
      </c>
      <c r="C34" s="11" t="s">
        <v>63</v>
      </c>
      <c r="D34" s="11" t="s">
        <v>68</v>
      </c>
    </row>
    <row r="35" spans="1:4" x14ac:dyDescent="0.25">
      <c r="A35" s="11" t="s">
        <v>69</v>
      </c>
      <c r="B35" s="14">
        <f>2*PI()/B29*B4</f>
        <v>1.1540544441758422</v>
      </c>
      <c r="C35" s="11" t="s">
        <v>27</v>
      </c>
      <c r="D35" s="11"/>
    </row>
    <row r="36" spans="1:4" x14ac:dyDescent="0.25">
      <c r="A36" s="11" t="s">
        <v>70</v>
      </c>
      <c r="B36" s="14">
        <f>2*PI()/B29*B21</f>
        <v>5.935137141475761</v>
      </c>
      <c r="C36" s="11" t="s">
        <v>27</v>
      </c>
      <c r="D36" s="11"/>
    </row>
    <row r="37" spans="1:4" x14ac:dyDescent="0.25">
      <c r="A37" s="11" t="s">
        <v>71</v>
      </c>
      <c r="B37" s="15">
        <f>2.4048/(B4/1000)</f>
        <v>6870.8571428571422</v>
      </c>
      <c r="C37" s="11" t="s">
        <v>72</v>
      </c>
      <c r="D37" s="11"/>
    </row>
    <row r="38" spans="1:4" x14ac:dyDescent="0.25">
      <c r="A38" s="8"/>
      <c r="B38" s="9"/>
      <c r="C38" s="8"/>
      <c r="D38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Normal="100" workbookViewId="0">
      <selection activeCell="I15" sqref="I15"/>
    </sheetView>
  </sheetViews>
  <sheetFormatPr baseColWidth="10" defaultColWidth="8.6640625" defaultRowHeight="15" x14ac:dyDescent="0.2"/>
  <cols>
    <col min="1" max="1" width="20" style="18" customWidth="1"/>
    <col min="2" max="2" width="7.5" style="18" bestFit="1" customWidth="1"/>
    <col min="3" max="3" width="13" style="18" bestFit="1" customWidth="1"/>
    <col min="4" max="4" width="10" style="18" customWidth="1"/>
    <col min="5" max="5" width="14" style="18" customWidth="1"/>
    <col min="6" max="6" width="31.33203125" style="18" customWidth="1"/>
    <col min="7" max="16384" width="8.6640625" style="18"/>
  </cols>
  <sheetData>
    <row r="1" spans="1:6" ht="17" x14ac:dyDescent="0.2">
      <c r="A1" s="16" t="s">
        <v>73</v>
      </c>
      <c r="B1" s="17"/>
      <c r="C1" s="17"/>
      <c r="D1" s="17"/>
      <c r="E1" s="17"/>
      <c r="F1" s="17"/>
    </row>
    <row r="2" spans="1:6" x14ac:dyDescent="0.2">
      <c r="A2" s="17"/>
      <c r="B2" s="17"/>
      <c r="C2" s="17"/>
      <c r="D2" s="17"/>
      <c r="E2" s="17"/>
      <c r="F2" s="17"/>
    </row>
    <row r="3" spans="1:6" ht="30" customHeight="1" x14ac:dyDescent="0.2">
      <c r="A3" s="23" t="s">
        <v>74</v>
      </c>
      <c r="B3" s="23" t="s">
        <v>75</v>
      </c>
      <c r="C3" s="23" t="s">
        <v>76</v>
      </c>
      <c r="D3" s="23" t="s">
        <v>77</v>
      </c>
      <c r="E3" s="23" t="s">
        <v>78</v>
      </c>
      <c r="F3" s="23" t="s">
        <v>79</v>
      </c>
    </row>
    <row r="4" spans="1:6" ht="16" x14ac:dyDescent="0.2">
      <c r="A4" s="19">
        <f>Inputs!$B$9*B4*0.000000001/(Inputs!$B$30*0.000001)</f>
        <v>0.1719183673469388</v>
      </c>
      <c r="B4" s="19">
        <v>4</v>
      </c>
      <c r="C4" s="20">
        <v>20</v>
      </c>
      <c r="D4" s="21">
        <f>ROUND(C4*1000/B4,0)</f>
        <v>5000</v>
      </c>
      <c r="E4" s="19">
        <v>10.7233324050903</v>
      </c>
      <c r="F4" s="22">
        <f>ABS(E4-$E$7)/$E$7*100</f>
        <v>0.30148707039008554</v>
      </c>
    </row>
    <row r="5" spans="1:6" ht="16" x14ac:dyDescent="0.2">
      <c r="A5" s="19">
        <f>Inputs!$B$9*B5*0.000000001/(Inputs!$B$30*0.000001)</f>
        <v>9.9999999999999881E-2</v>
      </c>
      <c r="B5" s="19">
        <v>2.32668566001899</v>
      </c>
      <c r="C5" s="20">
        <v>20</v>
      </c>
      <c r="D5" s="21">
        <f>ROUND(C5*1000/B5,0)</f>
        <v>8596</v>
      </c>
      <c r="E5" s="19">
        <v>10.709923744201699</v>
      </c>
      <c r="F5" s="22">
        <f>ABS(E5-$E$7)/$E$7*100</f>
        <v>0.1760681636600451</v>
      </c>
    </row>
    <row r="6" spans="1:6" ht="16" x14ac:dyDescent="0.2">
      <c r="A6" s="19">
        <f>Inputs!$B$9*B6*0.000000001/(Inputs!$B$30*0.000001)</f>
        <v>5.0000000000000148E-2</v>
      </c>
      <c r="B6" s="19">
        <v>1.1633428300094999</v>
      </c>
      <c r="C6" s="20">
        <v>20</v>
      </c>
      <c r="D6" s="21">
        <f>ROUND(C6*1000/B6,0)</f>
        <v>17192</v>
      </c>
      <c r="E6" s="19">
        <v>10.696873664856</v>
      </c>
      <c r="F6" s="22">
        <f>ABS(E6-$E$7)/$E$7*100</f>
        <v>5.4003276056737805E-2</v>
      </c>
    </row>
    <row r="7" spans="1:6" ht="16" x14ac:dyDescent="0.2">
      <c r="A7" s="19">
        <f>Inputs!$B$9*B7*0.000000001/(Inputs!$B$30*0.000001)</f>
        <v>2.4999999999999991E-2</v>
      </c>
      <c r="B7" s="19">
        <v>0.58167141500474795</v>
      </c>
      <c r="C7" s="20">
        <v>20</v>
      </c>
      <c r="D7" s="21">
        <f>ROUND(C7*1000/B7,0)</f>
        <v>34384</v>
      </c>
      <c r="E7" s="19">
        <v>10.6911001205444</v>
      </c>
      <c r="F7" s="22">
        <f>ABS(E7-$E$7)/$E$7*100</f>
        <v>0</v>
      </c>
    </row>
    <row r="8" spans="1:6" x14ac:dyDescent="0.2">
      <c r="A8" s="17"/>
      <c r="B8" s="17"/>
      <c r="C8" s="17"/>
      <c r="D8" s="17"/>
      <c r="E8" s="17"/>
      <c r="F8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Normal="100" workbookViewId="0">
      <selection activeCell="C20" sqref="C20"/>
    </sheetView>
  </sheetViews>
  <sheetFormatPr baseColWidth="10" defaultColWidth="8.6640625" defaultRowHeight="15" x14ac:dyDescent="0.2"/>
  <cols>
    <col min="1" max="1" width="26" customWidth="1"/>
    <col min="2" max="2" width="13" bestFit="1" customWidth="1"/>
    <col min="3" max="3" width="26.1640625" bestFit="1" customWidth="1"/>
    <col min="4" max="4" width="14" customWidth="1"/>
    <col min="5" max="5" width="22.5" bestFit="1" customWidth="1"/>
  </cols>
  <sheetData>
    <row r="1" spans="1:5" ht="17" x14ac:dyDescent="0.2">
      <c r="A1" s="16" t="s">
        <v>80</v>
      </c>
      <c r="B1" s="17"/>
      <c r="C1" s="17"/>
      <c r="D1" s="17"/>
      <c r="E1" s="17"/>
    </row>
    <row r="2" spans="1:5" x14ac:dyDescent="0.2">
      <c r="A2" s="17"/>
      <c r="B2" s="17"/>
      <c r="C2" s="17"/>
      <c r="D2" s="17"/>
      <c r="E2" s="17"/>
    </row>
    <row r="3" spans="1:5" ht="30" customHeight="1" x14ac:dyDescent="0.2">
      <c r="A3" s="23" t="s">
        <v>81</v>
      </c>
      <c r="B3" s="23" t="s">
        <v>76</v>
      </c>
      <c r="C3" s="23" t="s">
        <v>82</v>
      </c>
      <c r="D3" s="23" t="s">
        <v>78</v>
      </c>
      <c r="E3" s="23" t="s">
        <v>83</v>
      </c>
    </row>
    <row r="4" spans="1:5" ht="16" x14ac:dyDescent="0.2">
      <c r="A4" s="24" t="s">
        <v>84</v>
      </c>
      <c r="B4" s="25">
        <v>12</v>
      </c>
      <c r="C4" s="25">
        <f>B4-Inputs!$B$34</f>
        <v>-1.0466472303206995</v>
      </c>
      <c r="D4" s="26">
        <v>0.51447820663452104</v>
      </c>
      <c r="E4" s="27">
        <f t="shared" ref="E4:E10" si="0">ABS(D4-$D$9)/$D$9*100</f>
        <v>95.453784325447572</v>
      </c>
    </row>
    <row r="5" spans="1:5" ht="16" x14ac:dyDescent="0.2">
      <c r="A5" s="24" t="s">
        <v>85</v>
      </c>
      <c r="B5" s="25">
        <v>16</v>
      </c>
      <c r="C5" s="25">
        <f>B5-Inputs!$B$34</f>
        <v>2.9533527696793005</v>
      </c>
      <c r="D5" s="26">
        <v>10.7233324050903</v>
      </c>
      <c r="E5" s="27">
        <f t="shared" si="0"/>
        <v>5.2426687179592504</v>
      </c>
    </row>
    <row r="6" spans="1:5" ht="16" x14ac:dyDescent="0.2">
      <c r="A6" s="24" t="s">
        <v>86</v>
      </c>
      <c r="B6" s="25">
        <v>20</v>
      </c>
      <c r="C6" s="25">
        <f>B6-Inputs!$B$34</f>
        <v>6.9533527696793005</v>
      </c>
      <c r="D6" s="26">
        <v>10.7233324050903</v>
      </c>
      <c r="E6" s="27">
        <f t="shared" si="0"/>
        <v>5.2426687179592504</v>
      </c>
    </row>
    <row r="7" spans="1:5" ht="16" x14ac:dyDescent="0.2">
      <c r="A7" s="24" t="s">
        <v>87</v>
      </c>
      <c r="B7" s="25">
        <v>40</v>
      </c>
      <c r="C7" s="25">
        <f>B7-Inputs!$B$34</f>
        <v>26.953352769679299</v>
      </c>
      <c r="D7" s="26">
        <v>11.3165884017944</v>
      </c>
      <c r="E7" s="27">
        <f t="shared" si="0"/>
        <v>3.2866067793537254E-4</v>
      </c>
    </row>
    <row r="8" spans="1:5" ht="16" x14ac:dyDescent="0.2">
      <c r="A8" s="24" t="s">
        <v>88</v>
      </c>
      <c r="B8" s="25">
        <v>100</v>
      </c>
      <c r="C8" s="25">
        <f>B8-Inputs!$B$34</f>
        <v>86.953352769679299</v>
      </c>
      <c r="D8" s="26">
        <v>11.3166255950928</v>
      </c>
      <c r="E8" s="27">
        <f t="shared" si="0"/>
        <v>0</v>
      </c>
    </row>
    <row r="9" spans="1:5" ht="16" x14ac:dyDescent="0.2">
      <c r="A9" s="24" t="s">
        <v>89</v>
      </c>
      <c r="B9" s="25">
        <v>200</v>
      </c>
      <c r="C9" s="25">
        <f>B9-Inputs!$B$34</f>
        <v>186.9533527696793</v>
      </c>
      <c r="D9" s="26">
        <v>11.3166255950928</v>
      </c>
      <c r="E9" s="27">
        <f t="shared" si="0"/>
        <v>0</v>
      </c>
    </row>
    <row r="10" spans="1:5" ht="16" x14ac:dyDescent="0.2">
      <c r="A10" s="24" t="s">
        <v>90</v>
      </c>
      <c r="B10" s="25">
        <v>219.71299999999999</v>
      </c>
      <c r="C10" s="25" t="s">
        <v>91</v>
      </c>
      <c r="D10" s="26">
        <v>11.3166255950928</v>
      </c>
      <c r="E10" s="27">
        <f t="shared" si="0"/>
        <v>0</v>
      </c>
    </row>
    <row r="11" spans="1:5" x14ac:dyDescent="0.2">
      <c r="A11" s="1"/>
      <c r="B11" s="1"/>
      <c r="C11" s="1"/>
      <c r="D11" s="1"/>
      <c r="E1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zoomScaleNormal="100" workbookViewId="0">
      <selection activeCell="C42" sqref="C42"/>
    </sheetView>
  </sheetViews>
  <sheetFormatPr baseColWidth="10" defaultColWidth="8.6640625" defaultRowHeight="15" x14ac:dyDescent="0.2"/>
  <cols>
    <col min="1" max="1" width="38.6640625" style="2" customWidth="1"/>
    <col min="2" max="2" width="22.33203125" style="2" customWidth="1"/>
    <col min="3" max="3" width="23.6640625" style="2" bestFit="1" customWidth="1"/>
    <col min="4" max="4" width="9" style="2" customWidth="1"/>
    <col min="5" max="5" width="23.5" style="2" bestFit="1" customWidth="1"/>
    <col min="6" max="6" width="24" style="2" bestFit="1" customWidth="1"/>
    <col min="7" max="7" width="32.1640625" style="2" bestFit="1" customWidth="1"/>
    <col min="8" max="8" width="31.83203125" style="2" bestFit="1" customWidth="1"/>
    <col min="9" max="9" width="32.33203125" style="2" bestFit="1" customWidth="1"/>
    <col min="10" max="10" width="20.1640625" style="2" bestFit="1" customWidth="1"/>
    <col min="11" max="16384" width="8.6640625" style="2"/>
  </cols>
  <sheetData>
    <row r="1" spans="1:10" ht="17" x14ac:dyDescent="0.2">
      <c r="A1" s="36" t="s">
        <v>92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2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ht="30" customHeight="1" x14ac:dyDescent="0.2">
      <c r="A3" s="23" t="s">
        <v>93</v>
      </c>
      <c r="B3" s="23" t="s">
        <v>94</v>
      </c>
      <c r="C3" s="23" t="s">
        <v>95</v>
      </c>
      <c r="D3" s="23" t="s">
        <v>75</v>
      </c>
      <c r="E3" s="23" t="s">
        <v>96</v>
      </c>
      <c r="F3" s="23" t="s">
        <v>97</v>
      </c>
      <c r="G3" s="23" t="s">
        <v>98</v>
      </c>
      <c r="H3" s="23" t="s">
        <v>99</v>
      </c>
      <c r="I3" s="23" t="s">
        <v>100</v>
      </c>
      <c r="J3" s="23" t="s">
        <v>101</v>
      </c>
    </row>
    <row r="4" spans="1:10" ht="16" x14ac:dyDescent="0.2">
      <c r="A4" s="33" t="s">
        <v>102</v>
      </c>
      <c r="B4" s="28" t="s">
        <v>103</v>
      </c>
      <c r="C4" s="28" t="s">
        <v>104</v>
      </c>
      <c r="D4" s="19">
        <v>6</v>
      </c>
      <c r="E4" s="19">
        <v>9.8217191696166992</v>
      </c>
      <c r="F4" s="19">
        <v>56.435466766357401</v>
      </c>
      <c r="G4" s="29">
        <f>F4/E4</f>
        <v>5.7459866029299063</v>
      </c>
      <c r="H4" s="30">
        <f>ABS(E4-$E$8)/$E$8*100</f>
        <v>10.51002189801549</v>
      </c>
      <c r="I4" s="30">
        <f>ABS(G4-$G$8)/$G$8*100</f>
        <v>6.2543675744982226</v>
      </c>
      <c r="J4" s="28"/>
    </row>
    <row r="5" spans="1:10" ht="16" x14ac:dyDescent="0.2">
      <c r="A5" s="33" t="s">
        <v>102</v>
      </c>
      <c r="B5" s="28" t="s">
        <v>105</v>
      </c>
      <c r="C5" s="28" t="s">
        <v>106</v>
      </c>
      <c r="D5" s="19">
        <v>4.8</v>
      </c>
      <c r="E5" s="19">
        <v>10.2284202575684</v>
      </c>
      <c r="F5" s="19">
        <v>60.674022674560597</v>
      </c>
      <c r="G5" s="29">
        <f>F5/E5</f>
        <v>5.9319055285849798</v>
      </c>
      <c r="H5" s="30">
        <f>ABS(E5-$E$8)/$E$8*100</f>
        <v>6.8043904473179051</v>
      </c>
      <c r="I5" s="30">
        <f>ABS(G5-$G$8)/$G$8*100</f>
        <v>3.2211048000048854</v>
      </c>
      <c r="J5" s="28"/>
    </row>
    <row r="6" spans="1:10" ht="16" x14ac:dyDescent="0.2">
      <c r="A6" s="33" t="s">
        <v>102</v>
      </c>
      <c r="B6" s="28" t="s">
        <v>107</v>
      </c>
      <c r="C6" s="28" t="s">
        <v>29</v>
      </c>
      <c r="D6" s="19">
        <v>4</v>
      </c>
      <c r="E6" s="19">
        <v>10.7233324050903</v>
      </c>
      <c r="F6" s="19">
        <v>65.160285949707003</v>
      </c>
      <c r="G6" s="29">
        <f>F6/E6</f>
        <v>6.0764959518345076</v>
      </c>
      <c r="H6" s="30">
        <f>ABS(E6-$E$8)/$E$8*100</f>
        <v>2.2950294607861172</v>
      </c>
      <c r="I6" s="30">
        <f>ABS(G6-$G$8)/$G$8*100</f>
        <v>0.86211554247923294</v>
      </c>
      <c r="J6" s="28" t="s">
        <v>108</v>
      </c>
    </row>
    <row r="7" spans="1:10" ht="16" x14ac:dyDescent="0.2">
      <c r="A7" s="33" t="s">
        <v>102</v>
      </c>
      <c r="B7" s="28" t="s">
        <v>109</v>
      </c>
      <c r="C7" s="28" t="s">
        <v>110</v>
      </c>
      <c r="D7" s="19">
        <v>3.4285714285714302</v>
      </c>
      <c r="E7" s="19">
        <v>10.8011465072632</v>
      </c>
      <c r="F7" s="19">
        <v>68.406982421875</v>
      </c>
      <c r="G7" s="29">
        <f>F7/E7</f>
        <v>6.3333075221111876</v>
      </c>
      <c r="H7" s="30">
        <f>ABS(E7-$E$8)/$E$8*100</f>
        <v>1.586031150080994</v>
      </c>
      <c r="I7" s="30">
        <f>ABS(G7-$G$8)/$G$8*100</f>
        <v>3.3277590140499491</v>
      </c>
      <c r="J7" s="28"/>
    </row>
    <row r="8" spans="1:10" ht="16" x14ac:dyDescent="0.2">
      <c r="A8" s="33" t="s">
        <v>102</v>
      </c>
      <c r="B8" s="28" t="s">
        <v>111</v>
      </c>
      <c r="C8" s="28" t="s">
        <v>112</v>
      </c>
      <c r="D8" s="19">
        <v>3</v>
      </c>
      <c r="E8" s="19">
        <v>10.975216865539601</v>
      </c>
      <c r="F8" s="19">
        <v>67.270812988281307</v>
      </c>
      <c r="G8" s="29">
        <f>F8/E8</f>
        <v>6.129337926752112</v>
      </c>
      <c r="H8" s="30">
        <f>ABS(E8-$E$8)/$E$8*100</f>
        <v>0</v>
      </c>
      <c r="I8" s="30">
        <f>ABS(G8-$G$8)/$G$8*100</f>
        <v>0</v>
      </c>
      <c r="J8" s="28"/>
    </row>
    <row r="9" spans="1:10" ht="16" x14ac:dyDescent="0.2">
      <c r="A9" s="34"/>
      <c r="B9" s="31"/>
      <c r="C9" s="31"/>
      <c r="D9" s="31"/>
      <c r="E9" s="31"/>
      <c r="F9" s="31"/>
      <c r="G9" s="31"/>
      <c r="H9" s="31"/>
      <c r="I9" s="31"/>
      <c r="J9" s="31"/>
    </row>
    <row r="10" spans="1:10" ht="16" x14ac:dyDescent="0.2">
      <c r="A10" s="33" t="s">
        <v>113</v>
      </c>
      <c r="B10" s="28" t="s">
        <v>114</v>
      </c>
      <c r="C10" s="28" t="s">
        <v>29</v>
      </c>
      <c r="D10" s="19">
        <v>4</v>
      </c>
      <c r="E10" s="19">
        <v>10.7233324050903</v>
      </c>
      <c r="F10" s="19">
        <v>65.160285949707003</v>
      </c>
      <c r="G10" s="29">
        <f>F10/E10</f>
        <v>6.0764959518345076</v>
      </c>
      <c r="H10" s="30">
        <f>ABS(E10-$E$13)/$E$13*100</f>
        <v>8.0041699875736043E-4</v>
      </c>
      <c r="I10" s="30">
        <f>ABS(G10-$G$13)/$G$13*100</f>
        <v>0.13176457949111542</v>
      </c>
      <c r="J10" s="28" t="s">
        <v>108</v>
      </c>
    </row>
    <row r="11" spans="1:10" ht="16" x14ac:dyDescent="0.2">
      <c r="A11" s="33" t="s">
        <v>113</v>
      </c>
      <c r="B11" s="28" t="s">
        <v>115</v>
      </c>
      <c r="C11" s="28" t="s">
        <v>116</v>
      </c>
      <c r="D11" s="19">
        <v>4</v>
      </c>
      <c r="E11" s="19">
        <v>10.723274230956999</v>
      </c>
      <c r="F11" s="19">
        <v>65.237785339355497</v>
      </c>
      <c r="G11" s="29">
        <f>F11/E11</f>
        <v>6.0837561302890739</v>
      </c>
      <c r="H11" s="30">
        <f>ABS(E11-$E$13)/$E$13*100</f>
        <v>2.5791214356124677E-4</v>
      </c>
      <c r="I11" s="30">
        <f>ABS(G11-$G$13)/$G$13*100</f>
        <v>1.2442322578126944E-2</v>
      </c>
      <c r="J11" s="28"/>
    </row>
    <row r="12" spans="1:10" ht="16" x14ac:dyDescent="0.2">
      <c r="A12" s="33" t="s">
        <v>113</v>
      </c>
      <c r="B12" s="28" t="s">
        <v>117</v>
      </c>
      <c r="C12" s="28" t="s">
        <v>118</v>
      </c>
      <c r="D12" s="19">
        <v>4</v>
      </c>
      <c r="E12" s="19">
        <v>10.723070144653301</v>
      </c>
      <c r="F12" s="19">
        <v>65.243904113769503</v>
      </c>
      <c r="G12" s="29">
        <f>F12/E12</f>
        <v>6.0844425368513688</v>
      </c>
      <c r="H12" s="30">
        <f>ABS(E12-$E$13)/$E$13*100</f>
        <v>1.6453016106173577E-3</v>
      </c>
      <c r="I12" s="30">
        <f>ABS(G12-$G$13)/$G$13*100</f>
        <v>1.1611150037592916E-3</v>
      </c>
      <c r="J12" s="28"/>
    </row>
    <row r="13" spans="1:10" ht="16" x14ac:dyDescent="0.2">
      <c r="A13" s="33" t="s">
        <v>113</v>
      </c>
      <c r="B13" s="28" t="s">
        <v>119</v>
      </c>
      <c r="C13" s="28" t="s">
        <v>120</v>
      </c>
      <c r="D13" s="19">
        <v>4</v>
      </c>
      <c r="E13" s="19">
        <v>10.7232465744019</v>
      </c>
      <c r="F13" s="19">
        <v>65.245735168457003</v>
      </c>
      <c r="G13" s="29">
        <f>F13/E13</f>
        <v>6.0845131850468661</v>
      </c>
      <c r="H13" s="30">
        <f>ABS(E13-$E$13)/$E$13*100</f>
        <v>0</v>
      </c>
      <c r="I13" s="30">
        <f>ABS(G13-$G$13)/$G$13*100</f>
        <v>0</v>
      </c>
      <c r="J13" s="28"/>
    </row>
    <row r="14" spans="1:10" ht="16" x14ac:dyDescent="0.2">
      <c r="A14" s="34"/>
      <c r="B14" s="31"/>
      <c r="C14" s="31"/>
      <c r="D14" s="31"/>
      <c r="E14" s="31"/>
      <c r="F14" s="31"/>
      <c r="G14" s="31"/>
      <c r="H14" s="31"/>
      <c r="I14" s="31"/>
      <c r="J14" s="31"/>
    </row>
    <row r="15" spans="1:10" ht="16" x14ac:dyDescent="0.2">
      <c r="A15" s="33" t="s">
        <v>121</v>
      </c>
      <c r="B15" s="28" t="s">
        <v>122</v>
      </c>
      <c r="C15" s="28" t="s">
        <v>29</v>
      </c>
      <c r="D15" s="19">
        <v>4</v>
      </c>
      <c r="E15" s="19">
        <v>10.7233324050903</v>
      </c>
      <c r="F15" s="19">
        <v>65.160285949707003</v>
      </c>
      <c r="G15" s="29">
        <f t="shared" ref="G15:G21" si="0">F15/E15</f>
        <v>6.0764959518345076</v>
      </c>
      <c r="H15" s="30">
        <f t="shared" ref="H15:H21" si="1">ABS(E15-$E$21)/$E$21*100</f>
        <v>5.4552867061136308</v>
      </c>
      <c r="I15" s="30">
        <f t="shared" ref="I15:I21" si="2">ABS(G15-$G$21)/$G$21*100</f>
        <v>4.3109173137572228</v>
      </c>
      <c r="J15" s="28" t="s">
        <v>108</v>
      </c>
    </row>
    <row r="16" spans="1:10" ht="16" x14ac:dyDescent="0.2">
      <c r="A16" s="33" t="s">
        <v>121</v>
      </c>
      <c r="B16" s="28" t="s">
        <v>123</v>
      </c>
      <c r="C16" s="28" t="s">
        <v>124</v>
      </c>
      <c r="D16" s="19">
        <v>4</v>
      </c>
      <c r="E16" s="19">
        <v>9.9904098510742205</v>
      </c>
      <c r="F16" s="19">
        <v>64.708259582519503</v>
      </c>
      <c r="G16" s="29">
        <f t="shared" si="0"/>
        <v>6.4770375337065609</v>
      </c>
      <c r="H16" s="30">
        <f t="shared" si="1"/>
        <v>1.7524128360970881</v>
      </c>
      <c r="I16" s="30">
        <f t="shared" si="2"/>
        <v>1.9965758288099562</v>
      </c>
      <c r="J16" s="28"/>
    </row>
    <row r="17" spans="1:10" ht="16" x14ac:dyDescent="0.2">
      <c r="A17" s="33" t="s">
        <v>121</v>
      </c>
      <c r="B17" s="28" t="s">
        <v>125</v>
      </c>
      <c r="C17" s="28" t="s">
        <v>126</v>
      </c>
      <c r="D17" s="19">
        <v>4</v>
      </c>
      <c r="E17" s="19">
        <v>10.155231475830099</v>
      </c>
      <c r="F17" s="19">
        <v>64.947532653808594</v>
      </c>
      <c r="G17" s="29">
        <f t="shared" si="0"/>
        <v>6.3954753575422281</v>
      </c>
      <c r="H17" s="30">
        <f t="shared" si="1"/>
        <v>0.13152568671170808</v>
      </c>
      <c r="I17" s="30">
        <f t="shared" si="2"/>
        <v>0.71218267181254014</v>
      </c>
      <c r="J17" s="28"/>
    </row>
    <row r="18" spans="1:10" ht="16" x14ac:dyDescent="0.2">
      <c r="A18" s="33" t="s">
        <v>121</v>
      </c>
      <c r="B18" s="28" t="s">
        <v>127</v>
      </c>
      <c r="C18" s="28" t="s">
        <v>128</v>
      </c>
      <c r="D18" s="19">
        <v>4</v>
      </c>
      <c r="E18" s="19">
        <v>10.2688856124878</v>
      </c>
      <c r="F18" s="19">
        <v>64.917526245117202</v>
      </c>
      <c r="G18" s="29">
        <f t="shared" si="0"/>
        <v>6.3217693423493015</v>
      </c>
      <c r="H18" s="30">
        <f t="shared" si="1"/>
        <v>0.98617067052181662</v>
      </c>
      <c r="I18" s="30">
        <f t="shared" si="2"/>
        <v>0.44849628497013289</v>
      </c>
      <c r="J18" s="28"/>
    </row>
    <row r="19" spans="1:10" ht="16" x14ac:dyDescent="0.2">
      <c r="A19" s="33" t="s">
        <v>121</v>
      </c>
      <c r="B19" s="28" t="s">
        <v>129</v>
      </c>
      <c r="C19" s="28" t="s">
        <v>130</v>
      </c>
      <c r="D19" s="19">
        <v>4</v>
      </c>
      <c r="E19" s="19">
        <v>10.158740997314499</v>
      </c>
      <c r="F19" s="19">
        <v>64.491889953613295</v>
      </c>
      <c r="G19" s="29">
        <f t="shared" si="0"/>
        <v>6.3484136440393515</v>
      </c>
      <c r="H19" s="30">
        <f t="shared" si="1"/>
        <v>9.7012386148259119E-2</v>
      </c>
      <c r="I19" s="30">
        <f t="shared" si="2"/>
        <v>2.8917500133344372E-2</v>
      </c>
      <c r="J19" s="28"/>
    </row>
    <row r="20" spans="1:10" ht="16" x14ac:dyDescent="0.2">
      <c r="A20" s="33" t="s">
        <v>121</v>
      </c>
      <c r="B20" s="28" t="s">
        <v>131</v>
      </c>
      <c r="C20" s="28" t="s">
        <v>132</v>
      </c>
      <c r="D20" s="19">
        <v>4</v>
      </c>
      <c r="E20" s="19">
        <v>10.1730756759644</v>
      </c>
      <c r="F20" s="19">
        <v>64.563262939453097</v>
      </c>
      <c r="G20" s="29">
        <f t="shared" si="0"/>
        <v>6.3464840915313987</v>
      </c>
      <c r="H20" s="30">
        <f t="shared" si="1"/>
        <v>4.3957565146703154E-2</v>
      </c>
      <c r="I20" s="30">
        <f t="shared" si="2"/>
        <v>5.9302957631295887E-2</v>
      </c>
      <c r="J20" s="28"/>
    </row>
    <row r="21" spans="1:10" ht="16" x14ac:dyDescent="0.2">
      <c r="A21" s="33" t="s">
        <v>121</v>
      </c>
      <c r="B21" s="28" t="s">
        <v>133</v>
      </c>
      <c r="C21" s="28" t="s">
        <v>134</v>
      </c>
      <c r="D21" s="19">
        <v>4</v>
      </c>
      <c r="E21" s="19">
        <v>10.1686058044434</v>
      </c>
      <c r="F21" s="19">
        <v>64.573188781738295</v>
      </c>
      <c r="G21" s="29">
        <f t="shared" si="0"/>
        <v>6.3502499775850874</v>
      </c>
      <c r="H21" s="30">
        <f t="shared" si="1"/>
        <v>0</v>
      </c>
      <c r="I21" s="30">
        <f t="shared" si="2"/>
        <v>0</v>
      </c>
      <c r="J21" s="28"/>
    </row>
    <row r="22" spans="1:10" ht="16" x14ac:dyDescent="0.2">
      <c r="A22" s="34"/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16" x14ac:dyDescent="0.2">
      <c r="A23" s="33" t="s">
        <v>135</v>
      </c>
      <c r="B23" s="28" t="s">
        <v>136</v>
      </c>
      <c r="C23" s="28" t="s">
        <v>29</v>
      </c>
      <c r="D23" s="19">
        <v>4</v>
      </c>
      <c r="E23" s="19">
        <v>10.7233324050903</v>
      </c>
      <c r="F23" s="19">
        <v>65.160285949707003</v>
      </c>
      <c r="G23" s="29">
        <f>F23/E23</f>
        <v>6.0764959518345076</v>
      </c>
      <c r="H23" s="30">
        <f>ABS(E23-$E$26)/$E$26*100</f>
        <v>5.2553691875767878</v>
      </c>
      <c r="I23" s="30">
        <f>ABS(G23-$G$26)/$G$26*100</f>
        <v>4.3958957062199069</v>
      </c>
      <c r="J23" s="28" t="s">
        <v>108</v>
      </c>
    </row>
    <row r="24" spans="1:10" ht="16" x14ac:dyDescent="0.2">
      <c r="A24" s="33" t="s">
        <v>135</v>
      </c>
      <c r="B24" s="28" t="s">
        <v>137</v>
      </c>
      <c r="C24" s="28" t="s">
        <v>138</v>
      </c>
      <c r="D24" s="19">
        <v>4</v>
      </c>
      <c r="E24" s="19">
        <v>10.282784461975099</v>
      </c>
      <c r="F24" s="19">
        <v>65.130523681640597</v>
      </c>
      <c r="G24" s="29">
        <f>F24/E24</f>
        <v>6.3339384310240066</v>
      </c>
      <c r="H24" s="30">
        <f>ABS(E24-$E$26)/$E$26*100</f>
        <v>0.9311503117908938</v>
      </c>
      <c r="I24" s="30">
        <f>ABS(G24-$G$26)/$G$26*100</f>
        <v>0.34544330319451189</v>
      </c>
      <c r="J24" s="28"/>
    </row>
    <row r="25" spans="1:10" ht="16" x14ac:dyDescent="0.2">
      <c r="A25" s="33" t="s">
        <v>135</v>
      </c>
      <c r="B25" s="28" t="s">
        <v>139</v>
      </c>
      <c r="C25" s="28" t="s">
        <v>140</v>
      </c>
      <c r="D25" s="19">
        <v>4</v>
      </c>
      <c r="E25" s="19">
        <v>10.2015571594238</v>
      </c>
      <c r="F25" s="19">
        <v>64.722511291503906</v>
      </c>
      <c r="G25" s="29">
        <f>F25/E25</f>
        <v>6.3443756948139809</v>
      </c>
      <c r="H25" s="30">
        <f>ABS(E25-$E$26)/$E$26*100</f>
        <v>0.13385993645107835</v>
      </c>
      <c r="I25" s="30">
        <f>ABS(G25-$G$26)/$G$26*100</f>
        <v>0.18122937730237837</v>
      </c>
      <c r="J25" s="28"/>
    </row>
    <row r="26" spans="1:10" ht="16" x14ac:dyDescent="0.2">
      <c r="A26" s="33" t="s">
        <v>135</v>
      </c>
      <c r="B26" s="28" t="s">
        <v>141</v>
      </c>
      <c r="C26" s="28" t="s">
        <v>142</v>
      </c>
      <c r="D26" s="19">
        <v>4</v>
      </c>
      <c r="E26" s="19">
        <v>10.187919616699199</v>
      </c>
      <c r="F26" s="19">
        <v>64.753341674804702</v>
      </c>
      <c r="G26" s="29">
        <f>F26/E26</f>
        <v>6.3558944427345452</v>
      </c>
      <c r="H26" s="30">
        <f>ABS(E26-$E$26)/$E$26*100</f>
        <v>0</v>
      </c>
      <c r="I26" s="30">
        <f>ABS(G26-$G$26)/$G$26*100</f>
        <v>0</v>
      </c>
      <c r="J26" s="28"/>
    </row>
    <row r="27" spans="1:10" ht="16" x14ac:dyDescent="0.2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ht="16" x14ac:dyDescent="0.2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ht="16" x14ac:dyDescent="0.2">
      <c r="A29" s="35" t="s">
        <v>155</v>
      </c>
      <c r="B29" s="34"/>
      <c r="C29" s="34"/>
      <c r="D29" s="34"/>
      <c r="E29" s="34"/>
      <c r="F29" s="34"/>
      <c r="G29" s="34"/>
      <c r="H29" s="34"/>
      <c r="I29" s="34"/>
      <c r="J29" s="34"/>
    </row>
    <row r="30" spans="1:10" ht="30" customHeight="1" x14ac:dyDescent="0.2">
      <c r="A30" s="23" t="s">
        <v>143</v>
      </c>
      <c r="B30" s="23" t="s">
        <v>144</v>
      </c>
      <c r="C30" s="23" t="s">
        <v>145</v>
      </c>
      <c r="D30" s="23"/>
      <c r="E30" s="23" t="s">
        <v>146</v>
      </c>
      <c r="F30" s="23" t="s">
        <v>147</v>
      </c>
      <c r="G30" s="23" t="s">
        <v>148</v>
      </c>
      <c r="H30" s="23" t="s">
        <v>149</v>
      </c>
      <c r="I30" s="23" t="s">
        <v>150</v>
      </c>
      <c r="J30" s="23"/>
    </row>
    <row r="31" spans="1:10" ht="16" x14ac:dyDescent="0.2">
      <c r="A31" s="33" t="s">
        <v>102</v>
      </c>
      <c r="B31" s="28" t="s">
        <v>151</v>
      </c>
      <c r="C31" s="28" t="str">
        <f>TEXT(MIN(E4:E8),"0.000")&amp;" – "&amp;TEXT(MAX(E4:E8),"0.000")</f>
        <v>9.822 – 10.975</v>
      </c>
      <c r="D31" s="31"/>
      <c r="E31" s="29">
        <f>MIN(G4:G8)</f>
        <v>5.7459866029299063</v>
      </c>
      <c r="F31" s="29">
        <f>MAX(G4:G8)</f>
        <v>6.3333075221111876</v>
      </c>
      <c r="G31" s="30">
        <f>H6</f>
        <v>2.2950294607861172</v>
      </c>
      <c r="H31" s="30">
        <f>I6</f>
        <v>0.86211554247923294</v>
      </c>
      <c r="I31" s="30">
        <f>MAX(I4:I8)</f>
        <v>6.2543675744982226</v>
      </c>
      <c r="J31" s="31"/>
    </row>
    <row r="32" spans="1:10" ht="16" x14ac:dyDescent="0.2">
      <c r="A32" s="33" t="s">
        <v>113</v>
      </c>
      <c r="B32" s="28" t="s">
        <v>152</v>
      </c>
      <c r="C32" s="28" t="str">
        <f>TEXT(MIN(E10:E13),"0.000")&amp;" – "&amp;TEXT(MAX(E10:E13),"0.000")</f>
        <v>10.723 – 10.723</v>
      </c>
      <c r="D32" s="31"/>
      <c r="E32" s="29">
        <f>MIN(G10:G13)</f>
        <v>6.0764959518345076</v>
      </c>
      <c r="F32" s="29">
        <f>MAX(G10:G13)</f>
        <v>6.0845131850468661</v>
      </c>
      <c r="G32" s="30">
        <f>H10</f>
        <v>8.0041699875736043E-4</v>
      </c>
      <c r="H32" s="30">
        <f>I10</f>
        <v>0.13176457949111542</v>
      </c>
      <c r="I32" s="30">
        <f>MAX(I10:I13)</f>
        <v>0.13176457949111542</v>
      </c>
      <c r="J32" s="31"/>
    </row>
    <row r="33" spans="1:10" ht="16" x14ac:dyDescent="0.2">
      <c r="A33" s="33" t="s">
        <v>121</v>
      </c>
      <c r="B33" s="28" t="s">
        <v>153</v>
      </c>
      <c r="C33" s="28" t="str">
        <f>TEXT(MIN(E15:E21),"0.000")&amp;" – "&amp;TEXT(MAX(E15:E21),"0.000")</f>
        <v>9.990 – 10.723</v>
      </c>
      <c r="D33" s="31"/>
      <c r="E33" s="29">
        <f>MIN(G15:G21)</f>
        <v>6.0764959518345076</v>
      </c>
      <c r="F33" s="29">
        <f>MAX(G15:G21)</f>
        <v>6.4770375337065609</v>
      </c>
      <c r="G33" s="30">
        <f>H15</f>
        <v>5.4552867061136308</v>
      </c>
      <c r="H33" s="30">
        <f>I15</f>
        <v>4.3109173137572228</v>
      </c>
      <c r="I33" s="30">
        <f>MAX(I15:I21)</f>
        <v>4.3109173137572228</v>
      </c>
      <c r="J33" s="31"/>
    </row>
    <row r="34" spans="1:10" ht="16" x14ac:dyDescent="0.2">
      <c r="A34" s="33" t="s">
        <v>135</v>
      </c>
      <c r="B34" s="28" t="s">
        <v>154</v>
      </c>
      <c r="C34" s="28" t="str">
        <f>TEXT(MIN(E23:E26),"0.000")&amp;" – "&amp;TEXT(MAX(E23:E26),"0.000")</f>
        <v>10.188 – 10.723</v>
      </c>
      <c r="D34" s="31"/>
      <c r="E34" s="29">
        <f>MIN(G23:G26)</f>
        <v>6.0764959518345076</v>
      </c>
      <c r="F34" s="29">
        <f>MAX(G23:G26)</f>
        <v>6.3558944427345452</v>
      </c>
      <c r="G34" s="30">
        <f>H23</f>
        <v>5.2553691875767878</v>
      </c>
      <c r="H34" s="30">
        <f>I23</f>
        <v>4.3958957062199069</v>
      </c>
      <c r="I34" s="30">
        <f>MAX(I23:I26)</f>
        <v>4.3958957062199069</v>
      </c>
      <c r="J34" s="3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Time Step</vt:lpstr>
      <vt:lpstr>Sim Window</vt:lpstr>
      <vt:lpstr>Grid Domain PML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Mostafa Sedky</cp:lastModifiedBy>
  <cp:revision>0</cp:revision>
  <dcterms:created xsi:type="dcterms:W3CDTF">2026-10-26T14:47:12Z</dcterms:created>
  <dcterms:modified xsi:type="dcterms:W3CDTF">2026-10-26T15:09:47Z</dcterms:modified>
  <dc:language>en-US</dc:language>
</cp:coreProperties>
</file>